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v\django\cascadingDemo\input_data\data\"/>
    </mc:Choice>
  </mc:AlternateContent>
  <bookViews>
    <workbookView xWindow="0" yWindow="0" windowWidth="23040" windowHeight="9108"/>
  </bookViews>
  <sheets>
    <sheet name="Proforma Schedule" sheetId="1" r:id="rId1"/>
  </sheets>
  <calcPr calcId="162913"/>
</workbook>
</file>

<file path=xl/calcChain.xml><?xml version="1.0" encoding="utf-8"?>
<calcChain xmlns="http://schemas.openxmlformats.org/spreadsheetml/2006/main">
  <c r="E19" i="1" l="1"/>
  <c r="I19" i="1"/>
  <c r="M19" i="1"/>
  <c r="N19" i="1"/>
  <c r="Q19" i="1"/>
  <c r="P19" i="1" l="1"/>
</calcChain>
</file>

<file path=xl/sharedStrings.xml><?xml version="1.0" encoding="utf-8"?>
<sst xmlns="http://schemas.openxmlformats.org/spreadsheetml/2006/main" count="126" uniqueCount="73">
  <si>
    <t>Basic Information</t>
  </si>
  <si>
    <t>Snapshot ID</t>
  </si>
  <si>
    <t>Declared Capacity</t>
  </si>
  <si>
    <t>Declared Count</t>
  </si>
  <si>
    <t>default_id</t>
  </si>
  <si>
    <t>FE1</t>
  </si>
  <si>
    <t>7001</t>
  </si>
  <si>
    <t>20000</t>
  </si>
  <si>
    <t>Port Schedule</t>
  </si>
  <si>
    <t>No.</t>
  </si>
  <si>
    <t>Port
Code</t>
  </si>
  <si>
    <t>Direction</t>
  </si>
  <si>
    <t>Turning
Port</t>
  </si>
  <si>
    <t>Pilot
In</t>
  </si>
  <si>
    <t>ETB
No.</t>
  </si>
  <si>
    <t>ETB
Day</t>
  </si>
  <si>
    <t>ETB
Time</t>
  </si>
  <si>
    <t>Work
Hours</t>
  </si>
  <si>
    <t>ETD
No.</t>
  </si>
  <si>
    <t>ETD
Day</t>
  </si>
  <si>
    <t>ETD
Time</t>
  </si>
  <si>
    <t>Pilot
Out</t>
  </si>
  <si>
    <t>Dist.</t>
  </si>
  <si>
    <t>ECA
Dist.</t>
  </si>
  <si>
    <t>Spd.</t>
  </si>
  <si>
    <t>Sea
Time</t>
  </si>
  <si>
    <t>Terminal
Code</t>
  </si>
  <si>
    <t>Summary</t>
  </si>
  <si>
    <t>NLRTM</t>
  </si>
  <si>
    <t>E</t>
  </si>
  <si>
    <t>THU</t>
  </si>
  <si>
    <t>14:00</t>
  </si>
  <si>
    <t>SAT</t>
  </si>
  <si>
    <t>NLRTM01</t>
  </si>
  <si>
    <t>DEHAM</t>
  </si>
  <si>
    <t>MON</t>
  </si>
  <si>
    <t>TUE</t>
  </si>
  <si>
    <t>DEHAM01</t>
  </si>
  <si>
    <t>SGSIN</t>
  </si>
  <si>
    <t>WED</t>
  </si>
  <si>
    <t>FRI</t>
  </si>
  <si>
    <t>SUN</t>
  </si>
  <si>
    <t>W</t>
  </si>
  <si>
    <t>03:00</t>
  </si>
  <si>
    <t>Proforma Name</t>
    <phoneticPr fontId="4" type="noConversion"/>
  </si>
  <si>
    <t>Duration</t>
    <phoneticPr fontId="4" type="noConversion"/>
  </si>
  <si>
    <t>Effective Date</t>
    <phoneticPr fontId="4" type="noConversion"/>
  </si>
  <si>
    <t xml:space="preserve"> Lane Code</t>
    <phoneticPr fontId="4" type="noConversion"/>
  </si>
  <si>
    <t>KRPUS</t>
  </si>
  <si>
    <t>CNSHA</t>
  </si>
  <si>
    <t>CNNGB</t>
  </si>
  <si>
    <t>EGSUZ</t>
  </si>
  <si>
    <t>BEANR</t>
  </si>
  <si>
    <t>Y</t>
  </si>
  <si>
    <t>N</t>
  </si>
  <si>
    <t>15:00</t>
    <phoneticPr fontId="4" type="noConversion"/>
  </si>
  <si>
    <t>14:00</t>
    <phoneticPr fontId="4" type="noConversion"/>
  </si>
  <si>
    <t>01:00</t>
    <phoneticPr fontId="4" type="noConversion"/>
  </si>
  <si>
    <t>22:00</t>
    <phoneticPr fontId="4" type="noConversion"/>
  </si>
  <si>
    <t>10:00</t>
    <phoneticPr fontId="4" type="noConversion"/>
  </si>
  <si>
    <t>12:00</t>
    <phoneticPr fontId="4" type="noConversion"/>
  </si>
  <si>
    <t>15:00</t>
    <phoneticPr fontId="4" type="noConversion"/>
  </si>
  <si>
    <t>20:00</t>
    <phoneticPr fontId="4" type="noConversion"/>
  </si>
  <si>
    <t>KRPUS01</t>
  </si>
  <si>
    <t>CNSHA01</t>
  </si>
  <si>
    <t>CNNGB01</t>
  </si>
  <si>
    <t>SGSIN01</t>
  </si>
  <si>
    <t>EGSUZ01</t>
  </si>
  <si>
    <t>BEANR01</t>
  </si>
  <si>
    <t>02:00</t>
    <phoneticPr fontId="4" type="noConversion"/>
  </si>
  <si>
    <t>18:00</t>
    <phoneticPr fontId="4" type="noConversion"/>
  </si>
  <si>
    <t>05:00</t>
    <phoneticPr fontId="4" type="noConversion"/>
  </si>
  <si>
    <t>00:00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</si>
</sst>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\ #,##0.0"/>
    <numFmt numFmtId="177" formatCode="\ #,##0.00"/>
  </numFmts>
  <fonts count="7" x14ac:knownFonts="1">
    <font>
      <sz val="11"/>
      <color theme="1"/>
      <name val="맑은 고딕"/>
      <family val="2"/>
      <scheme val="minor"/>
    </font>
    <font>
      <b/>
      <sz val="12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indexed="8"/>
      <name val="Arial"/>
      <family val="2"/>
    </font>
    <font>
      <sz val="8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E2E3E5"/>
        <bgColor rgb="FFE2E3E5"/>
      </patternFill>
    </fill>
    <fill>
      <patternFill patternType="solid">
        <fgColor rgb="FFFFF2CC"/>
        <bgColor rgb="FFFFF2CC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49" fontId="3" fillId="4" borderId="2" xfId="0" applyNumberFormat="1" applyFont="1" applyFill="1" applyBorder="1" applyAlignment="1">
      <alignment horizontal="center" vertical="center"/>
    </xf>
    <xf numFmtId="176" fontId="3" fillId="4" borderId="2" xfId="0" applyNumberFormat="1" applyFont="1" applyFill="1" applyBorder="1" applyAlignment="1">
      <alignment horizontal="right" vertical="center"/>
    </xf>
    <xf numFmtId="0" fontId="3" fillId="4" borderId="2" xfId="0" applyNumberFormat="1" applyFont="1" applyFill="1" applyBorder="1" applyAlignment="1">
      <alignment horizontal="right" vertical="center"/>
    </xf>
    <xf numFmtId="3" fontId="3" fillId="4" borderId="2" xfId="0" applyNumberFormat="1" applyFont="1" applyFill="1" applyBorder="1" applyAlignment="1">
      <alignment horizontal="right" vertical="center"/>
    </xf>
    <xf numFmtId="177" fontId="3" fillId="4" borderId="2" xfId="0" applyNumberFormat="1" applyFont="1" applyFill="1" applyBorder="1" applyAlignment="1">
      <alignment horizontal="right" vertical="center"/>
    </xf>
    <xf numFmtId="0" fontId="0" fillId="0" borderId="0" xfId="0" applyAlignme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5" fillId="5" borderId="3" xfId="0" applyFont="1" applyFill="1" applyBorder="1" applyAlignment="1">
      <alignment horizontal="right" wrapText="1"/>
    </xf>
    <xf numFmtId="0" fontId="5" fillId="5" borderId="4" xfId="0" applyFont="1" applyFill="1" applyBorder="1" applyAlignment="1">
      <alignment horizontal="right" wrapText="1"/>
    </xf>
    <xf numFmtId="0" fontId="5" fillId="0" borderId="3" xfId="0" applyFont="1" applyFill="1" applyBorder="1" applyAlignment="1">
      <alignment horizontal="right" wrapText="1"/>
    </xf>
    <xf numFmtId="0" fontId="6" fillId="0" borderId="3" xfId="0" applyFont="1" applyFill="1" applyBorder="1" applyAlignment="1">
      <alignment horizontal="center" wrapText="1"/>
    </xf>
    <xf numFmtId="0" fontId="5" fillId="0" borderId="3" xfId="0" applyFont="1" applyFill="1" applyBorder="1" applyAlignment="1">
      <alignment wrapText="1"/>
    </xf>
    <xf numFmtId="0" fontId="5" fillId="0" borderId="4" xfId="0" applyFont="1" applyFill="1" applyBorder="1" applyAlignment="1">
      <alignment horizontal="right" wrapText="1"/>
    </xf>
    <xf numFmtId="0" fontId="6" fillId="0" borderId="4" xfId="0" applyFont="1" applyFill="1" applyBorder="1" applyAlignment="1">
      <alignment horizontal="center" wrapText="1"/>
    </xf>
    <xf numFmtId="0" fontId="5" fillId="0" borderId="4" xfId="0" applyFont="1" applyFill="1" applyBorder="1" applyAlignment="1">
      <alignment wrapText="1"/>
    </xf>
    <xf numFmtId="176" fontId="3" fillId="0" borderId="2" xfId="0" applyNumberFormat="1" applyFont="1" applyFill="1" applyBorder="1" applyAlignment="1">
      <alignment horizontal="right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wrapText="1"/>
    </xf>
    <xf numFmtId="0" fontId="5" fillId="5" borderId="6" xfId="0" applyFont="1" applyFill="1" applyBorder="1" applyAlignment="1">
      <alignment horizontal="right" wrapText="1"/>
    </xf>
    <xf numFmtId="0" fontId="5" fillId="5" borderId="7" xfId="0" applyFont="1" applyFill="1" applyBorder="1" applyAlignment="1">
      <alignment horizontal="right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abSelected="1" workbookViewId="0">
      <selection activeCell="G4" sqref="G4"/>
    </sheetView>
  </sheetViews>
  <sheetFormatPr defaultRowHeight="17.399999999999999" x14ac:dyDescent="0.4"/>
  <cols>
    <col min="1" max="1" width="5" customWidth="1"/>
    <col min="2" max="2" width="12" customWidth="1"/>
    <col min="3" max="3" width="10" customWidth="1"/>
    <col min="4" max="8" width="8" customWidth="1"/>
    <col min="9" max="9" width="10" customWidth="1"/>
    <col min="10" max="17" width="8" customWidth="1"/>
    <col min="18" max="18" width="15" customWidth="1"/>
  </cols>
  <sheetData>
    <row r="1" spans="1:18" ht="19.2" x14ac:dyDescent="0.45">
      <c r="A1" s="1" t="s">
        <v>0</v>
      </c>
    </row>
    <row r="2" spans="1:18" s="5" customFormat="1" ht="17.399999999999999" customHeight="1" x14ac:dyDescent="0.4">
      <c r="A2" s="12" t="s">
        <v>1</v>
      </c>
      <c r="B2" s="12"/>
      <c r="C2" s="12" t="s">
        <v>47</v>
      </c>
      <c r="D2" s="12"/>
      <c r="E2" s="12" t="s">
        <v>44</v>
      </c>
      <c r="F2" s="12"/>
      <c r="G2" s="12" t="s">
        <v>46</v>
      </c>
      <c r="H2" s="12"/>
      <c r="I2" s="12" t="s">
        <v>2</v>
      </c>
      <c r="J2" s="12"/>
      <c r="K2" s="12" t="s">
        <v>3</v>
      </c>
      <c r="L2" s="12"/>
      <c r="M2" s="12" t="s">
        <v>45</v>
      </c>
      <c r="N2" s="12"/>
    </row>
    <row r="3" spans="1:18" s="5" customFormat="1" ht="17.399999999999999" customHeight="1" x14ac:dyDescent="0.4">
      <c r="A3" s="13" t="s">
        <v>4</v>
      </c>
      <c r="B3" s="13"/>
      <c r="C3" s="13" t="s">
        <v>5</v>
      </c>
      <c r="D3" s="13"/>
      <c r="E3" s="13" t="s">
        <v>6</v>
      </c>
      <c r="F3" s="13"/>
      <c r="G3" s="14">
        <v>46023</v>
      </c>
      <c r="H3" s="13"/>
      <c r="I3" s="13" t="s">
        <v>7</v>
      </c>
      <c r="J3" s="13"/>
      <c r="K3" s="13">
        <v>12</v>
      </c>
      <c r="L3" s="13"/>
      <c r="M3" s="15">
        <v>84</v>
      </c>
      <c r="N3" s="15"/>
    </row>
    <row r="4" spans="1:18" x14ac:dyDescent="0.4">
      <c r="G4" s="5"/>
      <c r="H4" s="5"/>
      <c r="I4" s="11"/>
      <c r="J4" s="11"/>
      <c r="K4" s="11"/>
      <c r="L4" s="11"/>
      <c r="M4" s="11"/>
      <c r="N4" s="11"/>
      <c r="O4" s="11"/>
      <c r="P4" s="11"/>
    </row>
    <row r="5" spans="1:18" ht="19.2" x14ac:dyDescent="0.45">
      <c r="A5" s="1" t="s">
        <v>8</v>
      </c>
      <c r="F5" s="5"/>
      <c r="G5" s="5"/>
      <c r="H5" s="5"/>
      <c r="I5" s="11"/>
      <c r="J5" s="11"/>
      <c r="K5" s="11"/>
      <c r="L5" s="11"/>
      <c r="M5" s="11"/>
      <c r="N5" s="11"/>
      <c r="O5" s="11"/>
      <c r="P5" s="11"/>
    </row>
    <row r="6" spans="1:18" ht="35.4" thickBot="1" x14ac:dyDescent="0.45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19</v>
      </c>
      <c r="L6" s="2" t="s">
        <v>20</v>
      </c>
      <c r="M6" s="2" t="s">
        <v>21</v>
      </c>
      <c r="N6" s="2" t="s">
        <v>22</v>
      </c>
      <c r="O6" s="2" t="s">
        <v>23</v>
      </c>
      <c r="P6" s="2" t="s">
        <v>24</v>
      </c>
      <c r="Q6" s="2" t="s">
        <v>25</v>
      </c>
      <c r="R6" s="2" t="s">
        <v>26</v>
      </c>
    </row>
    <row r="7" spans="1:18" ht="18" thickBot="1" x14ac:dyDescent="0.45">
      <c r="A7" s="18">
        <v>1</v>
      </c>
      <c r="B7" s="19" t="s">
        <v>48</v>
      </c>
      <c r="C7" s="20" t="s">
        <v>29</v>
      </c>
      <c r="D7" s="20" t="s">
        <v>53</v>
      </c>
      <c r="E7" s="18">
        <v>2</v>
      </c>
      <c r="F7" s="18">
        <v>0</v>
      </c>
      <c r="G7" s="20" t="s">
        <v>41</v>
      </c>
      <c r="H7" s="6" t="s">
        <v>55</v>
      </c>
      <c r="I7" s="16">
        <v>35</v>
      </c>
      <c r="J7" s="16">
        <v>2</v>
      </c>
      <c r="K7" s="6" t="s">
        <v>32</v>
      </c>
      <c r="L7" s="6" t="s">
        <v>69</v>
      </c>
      <c r="M7" s="16">
        <v>2</v>
      </c>
      <c r="N7" s="16">
        <v>447</v>
      </c>
      <c r="O7" s="27">
        <v>0</v>
      </c>
      <c r="P7" s="16">
        <v>13.97</v>
      </c>
      <c r="Q7" s="16">
        <v>32</v>
      </c>
      <c r="R7" s="26" t="s">
        <v>63</v>
      </c>
    </row>
    <row r="8" spans="1:18" ht="18" thickBot="1" x14ac:dyDescent="0.45">
      <c r="A8" s="21">
        <v>2</v>
      </c>
      <c r="B8" s="22" t="s">
        <v>49</v>
      </c>
      <c r="C8" s="23" t="s">
        <v>29</v>
      </c>
      <c r="D8" s="23" t="s">
        <v>54</v>
      </c>
      <c r="E8" s="21">
        <v>2</v>
      </c>
      <c r="F8" s="21">
        <v>3</v>
      </c>
      <c r="G8" s="23" t="s">
        <v>39</v>
      </c>
      <c r="H8" s="6" t="s">
        <v>56</v>
      </c>
      <c r="I8" s="17">
        <v>48</v>
      </c>
      <c r="J8" s="17">
        <v>5</v>
      </c>
      <c r="K8" s="6" t="s">
        <v>36</v>
      </c>
      <c r="L8" s="6" t="s">
        <v>31</v>
      </c>
      <c r="M8" s="17">
        <v>2</v>
      </c>
      <c r="N8" s="17">
        <v>96</v>
      </c>
      <c r="O8" s="28">
        <v>0</v>
      </c>
      <c r="P8" s="17">
        <v>13.71</v>
      </c>
      <c r="Q8" s="17">
        <v>7</v>
      </c>
      <c r="R8" s="26" t="s">
        <v>64</v>
      </c>
    </row>
    <row r="9" spans="1:18" ht="18" thickBot="1" x14ac:dyDescent="0.45">
      <c r="A9" s="21">
        <v>3</v>
      </c>
      <c r="B9" s="22" t="s">
        <v>50</v>
      </c>
      <c r="C9" s="23" t="s">
        <v>29</v>
      </c>
      <c r="D9" s="23" t="s">
        <v>54</v>
      </c>
      <c r="E9" s="21">
        <v>2</v>
      </c>
      <c r="F9" s="21">
        <v>6</v>
      </c>
      <c r="G9" s="23" t="s">
        <v>32</v>
      </c>
      <c r="H9" s="6" t="s">
        <v>57</v>
      </c>
      <c r="I9" s="17">
        <v>33</v>
      </c>
      <c r="J9" s="17">
        <v>7</v>
      </c>
      <c r="K9" s="6" t="s">
        <v>32</v>
      </c>
      <c r="L9" s="6" t="s">
        <v>59</v>
      </c>
      <c r="M9" s="17">
        <v>2</v>
      </c>
      <c r="N9" s="17">
        <v>2079</v>
      </c>
      <c r="O9" s="28">
        <v>0</v>
      </c>
      <c r="P9" s="17">
        <v>13.68</v>
      </c>
      <c r="Q9" s="17">
        <v>152</v>
      </c>
      <c r="R9" s="26" t="s">
        <v>65</v>
      </c>
    </row>
    <row r="10" spans="1:18" ht="18" thickBot="1" x14ac:dyDescent="0.45">
      <c r="A10" s="21">
        <v>4</v>
      </c>
      <c r="B10" s="22" t="s">
        <v>38</v>
      </c>
      <c r="C10" s="23" t="s">
        <v>29</v>
      </c>
      <c r="D10" s="23" t="s">
        <v>54</v>
      </c>
      <c r="E10" s="21">
        <v>2</v>
      </c>
      <c r="F10" s="21">
        <v>13</v>
      </c>
      <c r="G10" s="23" t="s">
        <v>32</v>
      </c>
      <c r="H10" s="6" t="s">
        <v>58</v>
      </c>
      <c r="I10" s="17">
        <v>20</v>
      </c>
      <c r="J10" s="17">
        <v>14</v>
      </c>
      <c r="K10" s="6" t="s">
        <v>30</v>
      </c>
      <c r="L10" s="6" t="s">
        <v>70</v>
      </c>
      <c r="M10" s="17">
        <v>2</v>
      </c>
      <c r="N10" s="17">
        <v>5048</v>
      </c>
      <c r="O10" s="28">
        <v>0</v>
      </c>
      <c r="P10" s="17">
        <v>20.03</v>
      </c>
      <c r="Q10" s="17">
        <v>252</v>
      </c>
      <c r="R10" s="26" t="s">
        <v>66</v>
      </c>
    </row>
    <row r="11" spans="1:18" ht="18" thickBot="1" x14ac:dyDescent="0.45">
      <c r="A11" s="21">
        <v>5</v>
      </c>
      <c r="B11" s="22" t="s">
        <v>51</v>
      </c>
      <c r="C11" s="23" t="s">
        <v>29</v>
      </c>
      <c r="D11" s="23" t="s">
        <v>54</v>
      </c>
      <c r="E11" s="21">
        <v>2</v>
      </c>
      <c r="F11" s="21">
        <v>25</v>
      </c>
      <c r="G11" s="23" t="s">
        <v>30</v>
      </c>
      <c r="H11" s="6" t="s">
        <v>59</v>
      </c>
      <c r="I11" s="17">
        <v>24</v>
      </c>
      <c r="J11" s="17">
        <v>26</v>
      </c>
      <c r="K11" s="6" t="s">
        <v>41</v>
      </c>
      <c r="L11" s="6" t="s">
        <v>59</v>
      </c>
      <c r="M11" s="17">
        <v>2</v>
      </c>
      <c r="N11" s="17">
        <v>3550</v>
      </c>
      <c r="O11" s="28">
        <v>0</v>
      </c>
      <c r="P11" s="17">
        <v>12.66</v>
      </c>
      <c r="Q11" s="17">
        <v>280.5</v>
      </c>
      <c r="R11" s="26" t="s">
        <v>67</v>
      </c>
    </row>
    <row r="12" spans="1:18" ht="18" thickBot="1" x14ac:dyDescent="0.45">
      <c r="A12" s="21">
        <v>6</v>
      </c>
      <c r="B12" s="22" t="s">
        <v>34</v>
      </c>
      <c r="C12" s="23" t="s">
        <v>42</v>
      </c>
      <c r="D12" s="23" t="s">
        <v>54</v>
      </c>
      <c r="E12" s="21">
        <v>7.5</v>
      </c>
      <c r="F12" s="21">
        <v>38</v>
      </c>
      <c r="G12" s="23" t="s">
        <v>39</v>
      </c>
      <c r="H12" s="6" t="s">
        <v>60</v>
      </c>
      <c r="I12" s="17">
        <v>50</v>
      </c>
      <c r="J12" s="17">
        <v>40</v>
      </c>
      <c r="K12" s="6" t="s">
        <v>36</v>
      </c>
      <c r="L12" s="6" t="s">
        <v>31</v>
      </c>
      <c r="M12" s="17">
        <v>7.5</v>
      </c>
      <c r="N12" s="17">
        <v>230</v>
      </c>
      <c r="O12" s="28">
        <v>230</v>
      </c>
      <c r="P12" s="17">
        <v>14.84</v>
      </c>
      <c r="Q12" s="17">
        <v>15.5</v>
      </c>
      <c r="R12" s="26" t="s">
        <v>37</v>
      </c>
    </row>
    <row r="13" spans="1:18" ht="18" thickBot="1" x14ac:dyDescent="0.45">
      <c r="A13" s="21">
        <v>7</v>
      </c>
      <c r="B13" s="22" t="s">
        <v>28</v>
      </c>
      <c r="C13" s="23" t="s">
        <v>42</v>
      </c>
      <c r="D13" s="23" t="s">
        <v>54</v>
      </c>
      <c r="E13" s="21">
        <v>2</v>
      </c>
      <c r="F13" s="21">
        <v>41</v>
      </c>
      <c r="G13" s="23" t="s">
        <v>32</v>
      </c>
      <c r="H13" s="6" t="s">
        <v>61</v>
      </c>
      <c r="I13" s="17">
        <v>62</v>
      </c>
      <c r="J13" s="17">
        <v>44</v>
      </c>
      <c r="K13" s="6" t="s">
        <v>40</v>
      </c>
      <c r="L13" s="6" t="s">
        <v>71</v>
      </c>
      <c r="M13" s="17">
        <v>2</v>
      </c>
      <c r="N13" s="17">
        <v>64</v>
      </c>
      <c r="O13" s="28">
        <v>64</v>
      </c>
      <c r="P13" s="17">
        <v>9.14</v>
      </c>
      <c r="Q13" s="17">
        <v>7</v>
      </c>
      <c r="R13" s="26" t="s">
        <v>33</v>
      </c>
    </row>
    <row r="14" spans="1:18" ht="18" thickBot="1" x14ac:dyDescent="0.45">
      <c r="A14" s="21">
        <v>8</v>
      </c>
      <c r="B14" s="22" t="s">
        <v>52</v>
      </c>
      <c r="C14" s="23" t="s">
        <v>42</v>
      </c>
      <c r="D14" s="23" t="s">
        <v>54</v>
      </c>
      <c r="E14" s="21">
        <v>6</v>
      </c>
      <c r="F14" s="21">
        <v>44</v>
      </c>
      <c r="G14" s="23" t="s">
        <v>36</v>
      </c>
      <c r="H14" s="6" t="s">
        <v>62</v>
      </c>
      <c r="I14" s="17">
        <v>55</v>
      </c>
      <c r="J14" s="17">
        <v>47</v>
      </c>
      <c r="K14" s="6" t="s">
        <v>35</v>
      </c>
      <c r="L14" s="6" t="s">
        <v>43</v>
      </c>
      <c r="M14" s="17">
        <v>6</v>
      </c>
      <c r="N14" s="17">
        <v>3296</v>
      </c>
      <c r="O14" s="28">
        <v>352</v>
      </c>
      <c r="P14" s="17">
        <v>11.48</v>
      </c>
      <c r="Q14" s="17">
        <v>287</v>
      </c>
      <c r="R14" s="26" t="s">
        <v>68</v>
      </c>
    </row>
    <row r="15" spans="1:18" ht="18" thickBot="1" x14ac:dyDescent="0.45">
      <c r="A15" s="21">
        <v>9</v>
      </c>
      <c r="B15" s="22" t="s">
        <v>51</v>
      </c>
      <c r="C15" s="23" t="s">
        <v>42</v>
      </c>
      <c r="D15" s="23" t="s">
        <v>54</v>
      </c>
      <c r="E15" s="21">
        <v>2</v>
      </c>
      <c r="F15" s="21">
        <v>59</v>
      </c>
      <c r="G15" s="23" t="s">
        <v>39</v>
      </c>
      <c r="H15" s="6" t="s">
        <v>59</v>
      </c>
      <c r="I15" s="17">
        <v>38</v>
      </c>
      <c r="J15" s="17">
        <v>61</v>
      </c>
      <c r="K15" s="6" t="s">
        <v>39</v>
      </c>
      <c r="L15" s="6" t="s">
        <v>72</v>
      </c>
      <c r="M15" s="17">
        <v>2</v>
      </c>
      <c r="N15" s="17">
        <v>5048</v>
      </c>
      <c r="O15" s="28">
        <v>0</v>
      </c>
      <c r="P15" s="17">
        <v>19.57</v>
      </c>
      <c r="Q15" s="17">
        <v>258</v>
      </c>
      <c r="R15" s="26" t="s">
        <v>67</v>
      </c>
    </row>
    <row r="16" spans="1:18" ht="18" thickBot="1" x14ac:dyDescent="0.45">
      <c r="A16" s="21">
        <v>10</v>
      </c>
      <c r="B16" s="22" t="s">
        <v>38</v>
      </c>
      <c r="C16" s="23" t="s">
        <v>42</v>
      </c>
      <c r="D16" s="23" t="s">
        <v>54</v>
      </c>
      <c r="E16" s="21">
        <v>2</v>
      </c>
      <c r="F16" s="21">
        <v>71</v>
      </c>
      <c r="G16" s="23" t="s">
        <v>35</v>
      </c>
      <c r="H16" s="6" t="s">
        <v>58</v>
      </c>
      <c r="I16" s="17">
        <v>12</v>
      </c>
      <c r="J16" s="17">
        <v>72</v>
      </c>
      <c r="K16" s="6" t="s">
        <v>35</v>
      </c>
      <c r="L16" s="6" t="s">
        <v>59</v>
      </c>
      <c r="M16" s="17">
        <v>2</v>
      </c>
      <c r="N16" s="17">
        <v>2129</v>
      </c>
      <c r="O16" s="28">
        <v>0</v>
      </c>
      <c r="P16" s="17">
        <v>12.67</v>
      </c>
      <c r="Q16" s="17">
        <v>168</v>
      </c>
      <c r="R16" s="26" t="s">
        <v>66</v>
      </c>
    </row>
    <row r="17" spans="1:18" ht="18" thickBot="1" x14ac:dyDescent="0.45">
      <c r="A17" s="21">
        <v>11</v>
      </c>
      <c r="B17" s="22" t="s">
        <v>49</v>
      </c>
      <c r="C17" s="23" t="s">
        <v>42</v>
      </c>
      <c r="D17" s="23" t="s">
        <v>54</v>
      </c>
      <c r="E17" s="21">
        <v>2</v>
      </c>
      <c r="F17" s="21">
        <v>79</v>
      </c>
      <c r="G17" s="23" t="s">
        <v>36</v>
      </c>
      <c r="H17" s="6" t="s">
        <v>56</v>
      </c>
      <c r="I17" s="17">
        <v>28</v>
      </c>
      <c r="J17" s="17">
        <v>80</v>
      </c>
      <c r="K17" s="6" t="s">
        <v>36</v>
      </c>
      <c r="L17" s="6" t="s">
        <v>70</v>
      </c>
      <c r="M17" s="17">
        <v>2</v>
      </c>
      <c r="N17" s="17">
        <v>447</v>
      </c>
      <c r="O17" s="28">
        <v>0</v>
      </c>
      <c r="P17" s="17">
        <v>4.91</v>
      </c>
      <c r="Q17" s="17">
        <v>91</v>
      </c>
      <c r="R17" s="26" t="s">
        <v>64</v>
      </c>
    </row>
    <row r="18" spans="1:18" ht="18" thickBot="1" x14ac:dyDescent="0.45">
      <c r="A18" s="21">
        <v>12</v>
      </c>
      <c r="B18" s="22" t="s">
        <v>48</v>
      </c>
      <c r="C18" s="23" t="s">
        <v>42</v>
      </c>
      <c r="D18" s="23" t="s">
        <v>54</v>
      </c>
      <c r="E18" s="24">
        <v>3</v>
      </c>
      <c r="F18" s="21">
        <v>84</v>
      </c>
      <c r="G18" s="25" t="s">
        <v>39</v>
      </c>
      <c r="H18" s="6" t="s">
        <v>55</v>
      </c>
      <c r="I18" s="8"/>
      <c r="J18" s="8"/>
      <c r="K18" s="6"/>
      <c r="L18" s="6"/>
      <c r="M18" s="7"/>
      <c r="N18" s="9"/>
      <c r="O18" s="9"/>
      <c r="P18" s="10"/>
      <c r="Q18" s="10"/>
      <c r="R18" s="26" t="s">
        <v>63</v>
      </c>
    </row>
    <row r="19" spans="1:18" x14ac:dyDescent="0.4">
      <c r="A19" s="3"/>
      <c r="B19" s="4" t="s">
        <v>27</v>
      </c>
      <c r="C19" s="3"/>
      <c r="D19" s="3"/>
      <c r="E19" s="4">
        <f>SUM(E7:E16)</f>
        <v>29.5</v>
      </c>
      <c r="F19" s="3"/>
      <c r="G19" s="3"/>
      <c r="H19" s="3"/>
      <c r="I19" s="4">
        <f>SUM(I7:I16)</f>
        <v>377</v>
      </c>
      <c r="J19" s="3"/>
      <c r="K19" s="3"/>
      <c r="L19" s="3"/>
      <c r="M19" s="4">
        <f>SUM(M7:M16)</f>
        <v>29.5</v>
      </c>
      <c r="N19" s="4">
        <f>SUM(N7:N16)</f>
        <v>21987</v>
      </c>
      <c r="O19" s="3"/>
      <c r="P19" s="4">
        <f>IF(Q19&gt;0, N19/Q19, 0)</f>
        <v>15.069910897875257</v>
      </c>
      <c r="Q19" s="4">
        <f>SUM(Q7:Q16)</f>
        <v>1459</v>
      </c>
      <c r="R19" s="3"/>
    </row>
  </sheetData>
  <mergeCells count="14">
    <mergeCell ref="A2:B2"/>
    <mergeCell ref="A3:B3"/>
    <mergeCell ref="C2:D2"/>
    <mergeCell ref="C3:D3"/>
    <mergeCell ref="E2:F2"/>
    <mergeCell ref="M2:N2"/>
    <mergeCell ref="E3:F3"/>
    <mergeCell ref="G3:H3"/>
    <mergeCell ref="I3:J3"/>
    <mergeCell ref="K3:L3"/>
    <mergeCell ref="M3:N3"/>
    <mergeCell ref="G2:H2"/>
    <mergeCell ref="I2:J2"/>
    <mergeCell ref="K2:L2"/>
  </mergeCells>
  <phoneticPr fontId="4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Proforma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최병주</cp:lastModifiedBy>
  <dcterms:created xsi:type="dcterms:W3CDTF">2026-02-05T11:51:18Z</dcterms:created>
  <dcterms:modified xsi:type="dcterms:W3CDTF">2026-02-08T08:09:11Z</dcterms:modified>
</cp:coreProperties>
</file>