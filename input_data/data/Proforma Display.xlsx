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jango\cascadingDemo\input_data\data\"/>
    </mc:Choice>
  </mc:AlternateContent>
  <xr:revisionPtr revIDLastSave="0" documentId="13_ncr:1_{B9A2F25D-5F6E-469E-B3D1-E1D3E8D519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forma Schedule FP1 7018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1" l="1"/>
  <c r="J23" i="1"/>
  <c r="N23" i="1"/>
  <c r="O23" i="1"/>
  <c r="R23" i="1"/>
  <c r="Q23" i="1" l="1"/>
</calcChain>
</file>

<file path=xl/sharedStrings.xml><?xml version="1.0" encoding="utf-8"?>
<sst xmlns="http://schemas.openxmlformats.org/spreadsheetml/2006/main" count="172" uniqueCount="91">
  <si>
    <t>No.</t>
  </si>
  <si>
    <t>Port
Code</t>
  </si>
  <si>
    <t>Terminal
Code</t>
  </si>
  <si>
    <t>Direction</t>
  </si>
  <si>
    <t>Pilot
In</t>
  </si>
  <si>
    <t>Pilot
Out</t>
  </si>
  <si>
    <t>Work
Hours</t>
  </si>
  <si>
    <t>NLRTM</t>
  </si>
  <si>
    <t>NLRTM01</t>
  </si>
  <si>
    <t>E</t>
  </si>
  <si>
    <t>THU</t>
  </si>
  <si>
    <t>14:00</t>
  </si>
  <si>
    <t/>
  </si>
  <si>
    <t>SAT</t>
  </si>
  <si>
    <t>07:00</t>
  </si>
  <si>
    <t>DEHAM</t>
  </si>
  <si>
    <t>DEHAM01</t>
  </si>
  <si>
    <t>MON</t>
  </si>
  <si>
    <t>TUE</t>
  </si>
  <si>
    <t>17:00</t>
  </si>
  <si>
    <t>FRLEH</t>
  </si>
  <si>
    <t>FRLEH06</t>
  </si>
  <si>
    <t>22:00</t>
  </si>
  <si>
    <t>06:00</t>
  </si>
  <si>
    <t>SGSIN</t>
  </si>
  <si>
    <t>SGSIN04</t>
  </si>
  <si>
    <t>WED</t>
  </si>
  <si>
    <t>JPUKB</t>
  </si>
  <si>
    <t>JPUKB03</t>
  </si>
  <si>
    <t>FRI</t>
  </si>
  <si>
    <t>19:00</t>
  </si>
  <si>
    <t>SUN</t>
  </si>
  <si>
    <t>00:00</t>
  </si>
  <si>
    <t>JPNGO</t>
  </si>
  <si>
    <t>JPNGO07</t>
  </si>
  <si>
    <t>08:00</t>
  </si>
  <si>
    <t>JPTYO</t>
  </si>
  <si>
    <t>JPTYO01</t>
  </si>
  <si>
    <t>21:00</t>
  </si>
  <si>
    <t>USLAX</t>
  </si>
  <si>
    <t>USLAX01</t>
  </si>
  <si>
    <t>W</t>
  </si>
  <si>
    <t>18:00</t>
  </si>
  <si>
    <t>03:00</t>
  </si>
  <si>
    <t>USOAK</t>
  </si>
  <si>
    <t>USOAK08</t>
  </si>
  <si>
    <t>JPTYO02</t>
  </si>
  <si>
    <t>20:00</t>
  </si>
  <si>
    <t>JPSMZ</t>
  </si>
  <si>
    <t>JPSMZ01</t>
  </si>
  <si>
    <t>07:30</t>
  </si>
  <si>
    <t>13:30</t>
  </si>
  <si>
    <t>JPUKB01</t>
  </si>
  <si>
    <t>13:00</t>
  </si>
  <si>
    <t>JPTYO03</t>
  </si>
  <si>
    <t>05:00</t>
  </si>
  <si>
    <t>04:00</t>
  </si>
  <si>
    <t>Turning
Port</t>
    <phoneticPr fontId="21" type="noConversion"/>
  </si>
  <si>
    <t>Y</t>
    <phoneticPr fontId="21" type="noConversion"/>
  </si>
  <si>
    <t>N</t>
    <phoneticPr fontId="21" type="noConversion"/>
  </si>
  <si>
    <t>ETD
Time</t>
    <phoneticPr fontId="21" type="noConversion"/>
  </si>
  <si>
    <t>ETD
Day</t>
    <phoneticPr fontId="21" type="noConversion"/>
  </si>
  <si>
    <t>ETD
No.</t>
    <phoneticPr fontId="21" type="noConversion"/>
  </si>
  <si>
    <t>ETB
No.</t>
    <phoneticPr fontId="21" type="noConversion"/>
  </si>
  <si>
    <t>ETB
Day</t>
    <phoneticPr fontId="21" type="noConversion"/>
  </si>
  <si>
    <t>ETB
Time</t>
    <phoneticPr fontId="21" type="noConversion"/>
  </si>
  <si>
    <t>Sea 
Time</t>
    <phoneticPr fontId="21" type="noConversion"/>
  </si>
  <si>
    <t>Summary</t>
    <phoneticPr fontId="21" type="noConversion"/>
  </si>
  <si>
    <t>Dist.</t>
    <phoneticPr fontId="21" type="noConversion"/>
  </si>
  <si>
    <t>ECA
Dist.</t>
    <phoneticPr fontId="21" type="noConversion"/>
  </si>
  <si>
    <t>Spd.</t>
    <phoneticPr fontId="21" type="noConversion"/>
  </si>
  <si>
    <t>Basic Information</t>
  </si>
  <si>
    <t>Snapshot ID</t>
  </si>
  <si>
    <t>default_id</t>
    <phoneticPr fontId="21" type="noConversion"/>
  </si>
  <si>
    <t>Vessel Service Lane Code</t>
  </si>
  <si>
    <t>FP1</t>
    <phoneticPr fontId="21" type="noConversion"/>
  </si>
  <si>
    <t>Proforma Name</t>
  </si>
  <si>
    <t>Declared Capacity</t>
  </si>
  <si>
    <t>Declared Count</t>
  </si>
  <si>
    <t>Port Schedule</t>
  </si>
  <si>
    <t>Add Row</t>
    <phoneticPr fontId="21" type="noConversion"/>
  </si>
  <si>
    <t>Insert Row</t>
    <phoneticPr fontId="21" type="noConversion"/>
  </si>
  <si>
    <t>Delete Row</t>
    <phoneticPr fontId="21" type="noConversion"/>
  </si>
  <si>
    <t>Export Excel</t>
    <phoneticPr fontId="21" type="noConversion"/>
  </si>
  <si>
    <t>Upload Excel</t>
    <phoneticPr fontId="21" type="noConversion"/>
  </si>
  <si>
    <t>Template Download</t>
    <phoneticPr fontId="21" type="noConversion"/>
  </si>
  <si>
    <t>Effective Date</t>
    <phoneticPr fontId="21" type="noConversion"/>
  </si>
  <si>
    <t>2026/070/1</t>
    <phoneticPr fontId="21" type="noConversion"/>
  </si>
  <si>
    <t>Close</t>
    <phoneticPr fontId="21" type="noConversion"/>
  </si>
  <si>
    <t>New</t>
    <phoneticPr fontId="21" type="noConversion"/>
  </si>
  <si>
    <t>Save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</si>
</sst>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 #,##0.0"/>
    <numFmt numFmtId="177" formatCode="\ #,##0.00"/>
    <numFmt numFmtId="178" formatCode="\ #,##0"/>
  </numFmts>
  <fonts count="27" x14ac:knownFonts="1"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9"/>
      <name val="arial"/>
    </font>
    <font>
      <b/>
      <sz val="10"/>
      <color indexed="9"/>
      <name val="arial"/>
    </font>
    <font>
      <sz val="10"/>
      <color indexed="8"/>
      <name val="arial"/>
    </font>
    <font>
      <sz val="8"/>
      <name val="돋움"/>
      <family val="3"/>
      <charset val="129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rgb="FF212529"/>
      <name val="Segoe UI"/>
      <family val="2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right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right" vertical="center"/>
    </xf>
    <xf numFmtId="3" fontId="14" fillId="2" borderId="1" xfId="0" applyNumberFormat="1" applyFont="1" applyFill="1" applyBorder="1" applyAlignment="1">
      <alignment horizontal="right" vertical="center"/>
    </xf>
    <xf numFmtId="3" fontId="15" fillId="2" borderId="1" xfId="0" applyNumberFormat="1" applyFont="1" applyFill="1" applyBorder="1" applyAlignment="1">
      <alignment horizontal="right" vertical="center"/>
    </xf>
    <xf numFmtId="177" fontId="16" fillId="2" borderId="1" xfId="0" applyNumberFormat="1" applyFont="1" applyFill="1" applyBorder="1" applyAlignment="1">
      <alignment horizontal="right" vertical="center"/>
    </xf>
    <xf numFmtId="177" fontId="17" fillId="2" borderId="1" xfId="0" applyNumberFormat="1" applyFont="1" applyFill="1" applyBorder="1" applyAlignment="1">
      <alignment horizontal="right" vertical="center"/>
    </xf>
    <xf numFmtId="49" fontId="20" fillId="4" borderId="1" xfId="0" applyNumberFormat="1" applyFont="1" applyFill="1" applyBorder="1" applyAlignment="1">
      <alignment horizontal="center" vertical="center"/>
    </xf>
    <xf numFmtId="49" fontId="20" fillId="4" borderId="1" xfId="0" applyNumberFormat="1" applyFont="1" applyFill="1" applyBorder="1" applyAlignment="1">
      <alignment horizontal="right" vertical="center"/>
    </xf>
    <xf numFmtId="49" fontId="19" fillId="3" borderId="1" xfId="0" applyNumberFormat="1" applyFont="1" applyFill="1" applyBorder="1" applyAlignment="1">
      <alignment vertical="center" wrapText="1"/>
    </xf>
    <xf numFmtId="49" fontId="18" fillId="3" borderId="1" xfId="0" applyNumberFormat="1" applyFont="1" applyFill="1" applyBorder="1" applyAlignment="1">
      <alignment vertical="center"/>
    </xf>
    <xf numFmtId="49" fontId="18" fillId="3" borderId="1" xfId="0" applyNumberFormat="1" applyFont="1" applyFill="1" applyBorder="1" applyAlignment="1">
      <alignment vertical="center" wrapText="1"/>
    </xf>
    <xf numFmtId="49" fontId="22" fillId="3" borderId="1" xfId="0" applyNumberFormat="1" applyFont="1" applyFill="1" applyBorder="1" applyAlignment="1">
      <alignment vertical="center"/>
    </xf>
    <xf numFmtId="49" fontId="22" fillId="3" borderId="1" xfId="0" applyNumberFormat="1" applyFont="1" applyFill="1" applyBorder="1" applyAlignment="1">
      <alignment vertical="center" wrapText="1"/>
    </xf>
    <xf numFmtId="49" fontId="23" fillId="2" borderId="1" xfId="0" applyNumberFormat="1" applyFont="1" applyFill="1" applyBorder="1" applyAlignment="1">
      <alignment horizontal="center" vertical="center"/>
    </xf>
    <xf numFmtId="0" fontId="24" fillId="0" borderId="0" xfId="0" applyFont="1"/>
    <xf numFmtId="49" fontId="23" fillId="4" borderId="1" xfId="0" applyNumberFormat="1" applyFont="1" applyFill="1" applyBorder="1" applyAlignment="1">
      <alignment vertical="center"/>
    </xf>
    <xf numFmtId="49" fontId="20" fillId="4" borderId="1" xfId="0" applyNumberFormat="1" applyFont="1" applyFill="1" applyBorder="1" applyAlignment="1">
      <alignment vertical="center"/>
    </xf>
    <xf numFmtId="49" fontId="0" fillId="0" borderId="0" xfId="0" applyNumberFormat="1"/>
    <xf numFmtId="0" fontId="9" fillId="2" borderId="1" xfId="0" applyNumberFormat="1" applyFont="1" applyFill="1" applyBorder="1" applyAlignment="1">
      <alignment horizontal="right" vertical="center"/>
    </xf>
    <xf numFmtId="49" fontId="23" fillId="4" borderId="1" xfId="0" applyNumberFormat="1" applyFont="1" applyFill="1" applyBorder="1" applyAlignment="1">
      <alignment horizontal="right" vertical="center"/>
    </xf>
    <xf numFmtId="2" fontId="20" fillId="4" borderId="1" xfId="0" applyNumberFormat="1" applyFont="1" applyFill="1" applyBorder="1" applyAlignment="1">
      <alignment horizontal="right" vertical="center"/>
    </xf>
    <xf numFmtId="176" fontId="20" fillId="4" borderId="1" xfId="0" applyNumberFormat="1" applyFont="1" applyFill="1" applyBorder="1" applyAlignment="1">
      <alignment horizontal="right" vertical="center"/>
    </xf>
    <xf numFmtId="178" fontId="20" fillId="4" borderId="1" xfId="0" applyNumberFormat="1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20" fillId="4" borderId="2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right" vertical="center"/>
    </xf>
    <xf numFmtId="0" fontId="0" fillId="0" borderId="0" xfId="0" applyAlignment="1"/>
    <xf numFmtId="0" fontId="25" fillId="0" borderId="0" xfId="0" applyFont="1"/>
    <xf numFmtId="0" fontId="26" fillId="0" borderId="0" xfId="0" applyFont="1"/>
    <xf numFmtId="0" fontId="2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R18" sqref="R18"/>
    </sheetView>
  </sheetViews>
  <sheetFormatPr defaultRowHeight="13.2" x14ac:dyDescent="0.25"/>
  <cols>
    <col min="1" max="1" width="4.5546875" bestFit="1" customWidth="1"/>
    <col min="2" max="2" width="9.44140625" bestFit="1" customWidth="1"/>
    <col min="3" max="3" width="9.5546875" bestFit="1" customWidth="1"/>
    <col min="4" max="4" width="8.44140625" bestFit="1" customWidth="1"/>
    <col min="5" max="5" width="5.6640625" bestFit="1" customWidth="1"/>
    <col min="6" max="6" width="5.21875" bestFit="1" customWidth="1"/>
    <col min="7" max="7" width="6" bestFit="1" customWidth="1"/>
    <col min="8" max="8" width="6.109375" bestFit="1" customWidth="1"/>
    <col min="9" max="9" width="6.88671875" bestFit="1" customWidth="1"/>
    <col min="10" max="10" width="6.109375" customWidth="1"/>
    <col min="11" max="11" width="6.5546875" bestFit="1" customWidth="1"/>
    <col min="12" max="12" width="6.109375" bestFit="1" customWidth="1"/>
    <col min="13" max="13" width="5.6640625" bestFit="1" customWidth="1"/>
    <col min="14" max="15" width="7.6640625" bestFit="1" customWidth="1"/>
    <col min="16" max="16" width="6.6640625" bestFit="1" customWidth="1"/>
    <col min="17" max="17" width="7.6640625" bestFit="1" customWidth="1"/>
    <col min="18" max="19" width="10.109375" bestFit="1" customWidth="1"/>
  </cols>
  <sheetData>
    <row r="1" spans="1:19" ht="15" x14ac:dyDescent="0.35">
      <c r="A1" s="36" t="s">
        <v>71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9" x14ac:dyDescent="0.25">
      <c r="A2" s="37" t="s">
        <v>72</v>
      </c>
      <c r="B2" s="35"/>
      <c r="C2" s="35"/>
      <c r="D2" s="37" t="s">
        <v>74</v>
      </c>
      <c r="E2" s="35"/>
      <c r="F2" s="35"/>
      <c r="G2" s="35"/>
      <c r="H2" s="37" t="s">
        <v>76</v>
      </c>
      <c r="I2" s="35"/>
      <c r="J2" s="35"/>
      <c r="K2" s="21" t="s">
        <v>86</v>
      </c>
      <c r="N2" s="37" t="s">
        <v>77</v>
      </c>
      <c r="O2" s="35"/>
      <c r="P2" s="35"/>
      <c r="Q2" s="37" t="s">
        <v>78</v>
      </c>
      <c r="R2" s="35"/>
    </row>
    <row r="3" spans="1:19" ht="15" x14ac:dyDescent="0.35">
      <c r="A3" s="36" t="s">
        <v>73</v>
      </c>
      <c r="B3" s="35"/>
      <c r="C3" s="35"/>
      <c r="D3" s="38" t="s">
        <v>75</v>
      </c>
      <c r="E3" s="35"/>
      <c r="F3" s="35"/>
      <c r="G3" s="35"/>
      <c r="H3" s="35">
        <v>7002</v>
      </c>
      <c r="I3" s="35"/>
      <c r="J3" s="35"/>
      <c r="K3" s="21" t="s">
        <v>87</v>
      </c>
      <c r="N3" s="35">
        <v>20000</v>
      </c>
      <c r="O3" s="35"/>
      <c r="P3" s="35"/>
      <c r="Q3" s="35">
        <v>19</v>
      </c>
      <c r="R3" s="35"/>
    </row>
    <row r="4" spans="1:19" ht="15" x14ac:dyDescent="0.35">
      <c r="A4" s="36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9" ht="15" x14ac:dyDescent="0.35">
      <c r="A5" s="36" t="s">
        <v>79</v>
      </c>
      <c r="H5" s="21" t="s">
        <v>80</v>
      </c>
      <c r="I5" s="21"/>
      <c r="J5" s="21" t="s">
        <v>81</v>
      </c>
      <c r="L5" s="21" t="s">
        <v>82</v>
      </c>
      <c r="N5" s="21" t="s">
        <v>83</v>
      </c>
      <c r="P5" s="21" t="s">
        <v>84</v>
      </c>
      <c r="R5" s="21" t="s">
        <v>85</v>
      </c>
    </row>
    <row r="6" spans="1:19" ht="38.25" customHeight="1" x14ac:dyDescent="0.25">
      <c r="B6" s="16" t="s">
        <v>0</v>
      </c>
      <c r="C6" s="17" t="s">
        <v>1</v>
      </c>
      <c r="D6" s="16" t="s">
        <v>3</v>
      </c>
      <c r="E6" s="19" t="s">
        <v>57</v>
      </c>
      <c r="F6" s="17" t="s">
        <v>4</v>
      </c>
      <c r="G6" s="19" t="s">
        <v>63</v>
      </c>
      <c r="H6" s="19" t="s">
        <v>64</v>
      </c>
      <c r="I6" s="19" t="s">
        <v>65</v>
      </c>
      <c r="J6" s="15" t="s">
        <v>6</v>
      </c>
      <c r="K6" s="19" t="s">
        <v>62</v>
      </c>
      <c r="L6" s="19" t="s">
        <v>61</v>
      </c>
      <c r="M6" s="19" t="s">
        <v>60</v>
      </c>
      <c r="N6" s="17" t="s">
        <v>5</v>
      </c>
      <c r="O6" s="18" t="s">
        <v>68</v>
      </c>
      <c r="P6" s="19" t="s">
        <v>69</v>
      </c>
      <c r="Q6" s="18" t="s">
        <v>70</v>
      </c>
      <c r="R6" s="19" t="s">
        <v>66</v>
      </c>
      <c r="S6" s="17" t="s">
        <v>2</v>
      </c>
    </row>
    <row r="7" spans="1:19" x14ac:dyDescent="0.25">
      <c r="B7" s="32">
        <v>1</v>
      </c>
      <c r="C7" s="1" t="s">
        <v>7</v>
      </c>
      <c r="D7" s="2" t="s">
        <v>9</v>
      </c>
      <c r="E7" s="20" t="s">
        <v>58</v>
      </c>
      <c r="F7" s="3">
        <v>2</v>
      </c>
      <c r="G7" s="34">
        <v>0</v>
      </c>
      <c r="H7" s="4" t="s">
        <v>10</v>
      </c>
      <c r="I7" s="5" t="s">
        <v>11</v>
      </c>
      <c r="J7" s="25">
        <v>41</v>
      </c>
      <c r="K7" s="33">
        <v>2</v>
      </c>
      <c r="L7" s="6" t="s">
        <v>13</v>
      </c>
      <c r="M7" s="7" t="s">
        <v>14</v>
      </c>
      <c r="N7" s="8">
        <v>2</v>
      </c>
      <c r="O7" s="9">
        <v>223</v>
      </c>
      <c r="P7" s="10">
        <v>0</v>
      </c>
      <c r="Q7" s="11">
        <v>5.7919999999999998</v>
      </c>
      <c r="R7" s="12">
        <v>38.5</v>
      </c>
      <c r="S7" s="30" t="s">
        <v>8</v>
      </c>
    </row>
    <row r="8" spans="1:19" x14ac:dyDescent="0.25">
      <c r="B8" s="32">
        <v>2</v>
      </c>
      <c r="C8" s="1" t="s">
        <v>15</v>
      </c>
      <c r="D8" s="2" t="s">
        <v>9</v>
      </c>
      <c r="E8" s="20" t="s">
        <v>58</v>
      </c>
      <c r="F8" s="3">
        <v>7.5</v>
      </c>
      <c r="G8" s="34">
        <v>4</v>
      </c>
      <c r="H8" s="4" t="s">
        <v>17</v>
      </c>
      <c r="I8" s="5" t="s">
        <v>14</v>
      </c>
      <c r="J8" s="25">
        <v>34</v>
      </c>
      <c r="K8" s="33">
        <v>5</v>
      </c>
      <c r="L8" s="6" t="s">
        <v>18</v>
      </c>
      <c r="M8" s="7" t="s">
        <v>19</v>
      </c>
      <c r="N8" s="8">
        <v>7.5</v>
      </c>
      <c r="O8" s="9">
        <v>439</v>
      </c>
      <c r="P8" s="10">
        <v>0</v>
      </c>
      <c r="Q8" s="11">
        <v>10.092000000000001</v>
      </c>
      <c r="R8" s="12">
        <v>43.5</v>
      </c>
      <c r="S8" s="30" t="s">
        <v>16</v>
      </c>
    </row>
    <row r="9" spans="1:19" x14ac:dyDescent="0.25">
      <c r="B9" s="32">
        <v>3</v>
      </c>
      <c r="C9" s="1" t="s">
        <v>20</v>
      </c>
      <c r="D9" s="2" t="s">
        <v>9</v>
      </c>
      <c r="E9" s="20" t="s">
        <v>58</v>
      </c>
      <c r="F9" s="3">
        <v>2</v>
      </c>
      <c r="G9" s="34">
        <v>7</v>
      </c>
      <c r="H9" s="4" t="s">
        <v>10</v>
      </c>
      <c r="I9" s="5" t="s">
        <v>22</v>
      </c>
      <c r="J9" s="25">
        <v>32</v>
      </c>
      <c r="K9" s="33">
        <v>9</v>
      </c>
      <c r="L9" s="6" t="s">
        <v>13</v>
      </c>
      <c r="M9" s="7" t="s">
        <v>23</v>
      </c>
      <c r="N9" s="8">
        <v>2</v>
      </c>
      <c r="O9" s="9">
        <v>11663</v>
      </c>
      <c r="P9" s="10">
        <v>0</v>
      </c>
      <c r="Q9" s="11">
        <v>15.407</v>
      </c>
      <c r="R9" s="12">
        <v>757</v>
      </c>
      <c r="S9" s="30" t="s">
        <v>21</v>
      </c>
    </row>
    <row r="10" spans="1:19" x14ac:dyDescent="0.25">
      <c r="B10" s="32">
        <v>4</v>
      </c>
      <c r="C10" s="1" t="s">
        <v>24</v>
      </c>
      <c r="D10" s="2" t="s">
        <v>9</v>
      </c>
      <c r="E10" s="20" t="s">
        <v>59</v>
      </c>
      <c r="F10" s="3">
        <v>3</v>
      </c>
      <c r="G10" s="34">
        <v>41</v>
      </c>
      <c r="H10" s="4" t="s">
        <v>26</v>
      </c>
      <c r="I10" s="5" t="s">
        <v>14</v>
      </c>
      <c r="J10" s="25">
        <v>31</v>
      </c>
      <c r="K10" s="33">
        <v>42</v>
      </c>
      <c r="L10" s="6" t="s">
        <v>10</v>
      </c>
      <c r="M10" s="7" t="s">
        <v>11</v>
      </c>
      <c r="N10" s="8">
        <v>3</v>
      </c>
      <c r="O10" s="9">
        <v>2650</v>
      </c>
      <c r="P10" s="10">
        <v>0</v>
      </c>
      <c r="Q10" s="11">
        <v>13.946999999999999</v>
      </c>
      <c r="R10" s="12">
        <v>190</v>
      </c>
      <c r="S10" s="30" t="s">
        <v>25</v>
      </c>
    </row>
    <row r="11" spans="1:19" x14ac:dyDescent="0.25">
      <c r="B11" s="32">
        <v>5</v>
      </c>
      <c r="C11" s="1" t="s">
        <v>27</v>
      </c>
      <c r="D11" s="2" t="s">
        <v>9</v>
      </c>
      <c r="E11" s="20" t="s">
        <v>59</v>
      </c>
      <c r="F11" s="3">
        <v>3</v>
      </c>
      <c r="G11" s="34">
        <v>50</v>
      </c>
      <c r="H11" s="4" t="s">
        <v>29</v>
      </c>
      <c r="I11" s="5" t="s">
        <v>30</v>
      </c>
      <c r="J11" s="25">
        <v>29</v>
      </c>
      <c r="K11" s="33">
        <v>52</v>
      </c>
      <c r="L11" s="6" t="s">
        <v>31</v>
      </c>
      <c r="M11" s="7" t="s">
        <v>32</v>
      </c>
      <c r="N11" s="8">
        <v>3</v>
      </c>
      <c r="O11" s="9">
        <v>197</v>
      </c>
      <c r="P11" s="10">
        <v>0</v>
      </c>
      <c r="Q11" s="11">
        <v>7.577</v>
      </c>
      <c r="R11" s="12">
        <v>26</v>
      </c>
      <c r="S11" s="30" t="s">
        <v>28</v>
      </c>
    </row>
    <row r="12" spans="1:19" x14ac:dyDescent="0.25">
      <c r="B12" s="32">
        <v>6</v>
      </c>
      <c r="C12" s="1" t="s">
        <v>33</v>
      </c>
      <c r="D12" s="2" t="s">
        <v>9</v>
      </c>
      <c r="E12" s="20" t="s">
        <v>59</v>
      </c>
      <c r="F12" s="3">
        <v>3</v>
      </c>
      <c r="G12" s="34">
        <v>53</v>
      </c>
      <c r="H12" s="4" t="s">
        <v>17</v>
      </c>
      <c r="I12" s="5" t="s">
        <v>35</v>
      </c>
      <c r="J12" s="25">
        <v>30</v>
      </c>
      <c r="K12" s="33">
        <v>54</v>
      </c>
      <c r="L12" s="6" t="s">
        <v>18</v>
      </c>
      <c r="M12" s="7" t="s">
        <v>11</v>
      </c>
      <c r="N12" s="8">
        <v>3</v>
      </c>
      <c r="O12" s="9">
        <v>169</v>
      </c>
      <c r="P12" s="10">
        <v>0</v>
      </c>
      <c r="Q12" s="11">
        <v>6.0359999999999996</v>
      </c>
      <c r="R12" s="12">
        <v>28</v>
      </c>
      <c r="S12" s="30" t="s">
        <v>34</v>
      </c>
    </row>
    <row r="13" spans="1:19" x14ac:dyDescent="0.25">
      <c r="B13" s="32">
        <v>7</v>
      </c>
      <c r="C13" s="1" t="s">
        <v>36</v>
      </c>
      <c r="D13" s="2" t="s">
        <v>9</v>
      </c>
      <c r="E13" s="20" t="s">
        <v>59</v>
      </c>
      <c r="F13" s="3">
        <v>3</v>
      </c>
      <c r="G13" s="34">
        <v>56</v>
      </c>
      <c r="H13" s="4" t="s">
        <v>10</v>
      </c>
      <c r="I13" s="5" t="s">
        <v>32</v>
      </c>
      <c r="J13" s="25">
        <v>45</v>
      </c>
      <c r="K13" s="33">
        <v>57</v>
      </c>
      <c r="L13" s="6" t="s">
        <v>29</v>
      </c>
      <c r="M13" s="7" t="s">
        <v>38</v>
      </c>
      <c r="N13" s="8">
        <v>3</v>
      </c>
      <c r="O13" s="9">
        <v>4836</v>
      </c>
      <c r="P13" s="10">
        <v>0</v>
      </c>
      <c r="Q13" s="11">
        <v>16.393000000000001</v>
      </c>
      <c r="R13" s="12">
        <v>295</v>
      </c>
      <c r="S13" s="30" t="s">
        <v>37</v>
      </c>
    </row>
    <row r="14" spans="1:19" x14ac:dyDescent="0.25">
      <c r="B14" s="32">
        <v>8</v>
      </c>
      <c r="C14" s="1" t="s">
        <v>39</v>
      </c>
      <c r="D14" s="2" t="s">
        <v>41</v>
      </c>
      <c r="E14" s="20" t="s">
        <v>58</v>
      </c>
      <c r="F14" s="3">
        <v>4</v>
      </c>
      <c r="G14" s="34">
        <v>69</v>
      </c>
      <c r="H14" s="4" t="s">
        <v>26</v>
      </c>
      <c r="I14" s="5" t="s">
        <v>42</v>
      </c>
      <c r="J14" s="25">
        <v>105</v>
      </c>
      <c r="K14" s="33">
        <v>74</v>
      </c>
      <c r="L14" s="6" t="s">
        <v>17</v>
      </c>
      <c r="M14" s="7" t="s">
        <v>43</v>
      </c>
      <c r="N14" s="8">
        <v>4</v>
      </c>
      <c r="O14" s="9">
        <v>371</v>
      </c>
      <c r="P14" s="10">
        <v>0</v>
      </c>
      <c r="Q14" s="11">
        <v>16.864000000000001</v>
      </c>
      <c r="R14" s="12">
        <v>22</v>
      </c>
      <c r="S14" s="30" t="s">
        <v>40</v>
      </c>
    </row>
    <row r="15" spans="1:19" x14ac:dyDescent="0.25">
      <c r="B15" s="32">
        <v>9</v>
      </c>
      <c r="C15" s="1" t="s">
        <v>44</v>
      </c>
      <c r="D15" s="2" t="s">
        <v>41</v>
      </c>
      <c r="E15" s="20" t="s">
        <v>58</v>
      </c>
      <c r="F15" s="3">
        <v>3</v>
      </c>
      <c r="G15" s="34">
        <v>75</v>
      </c>
      <c r="H15" s="4" t="s">
        <v>18</v>
      </c>
      <c r="I15" s="5" t="s">
        <v>35</v>
      </c>
      <c r="J15" s="25">
        <v>33</v>
      </c>
      <c r="K15" s="33">
        <v>76</v>
      </c>
      <c r="L15" s="6" t="s">
        <v>26</v>
      </c>
      <c r="M15" s="7" t="s">
        <v>19</v>
      </c>
      <c r="N15" s="8">
        <v>3</v>
      </c>
      <c r="O15" s="9">
        <v>4529</v>
      </c>
      <c r="P15" s="10">
        <v>0</v>
      </c>
      <c r="Q15" s="11">
        <v>17.690999999999999</v>
      </c>
      <c r="R15" s="12">
        <v>256</v>
      </c>
      <c r="S15" s="30" t="s">
        <v>45</v>
      </c>
    </row>
    <row r="16" spans="1:19" x14ac:dyDescent="0.25">
      <c r="B16" s="32">
        <v>10</v>
      </c>
      <c r="C16" s="1" t="s">
        <v>36</v>
      </c>
      <c r="D16" s="2" t="s">
        <v>41</v>
      </c>
      <c r="E16" s="20" t="s">
        <v>59</v>
      </c>
      <c r="F16" s="3">
        <v>3</v>
      </c>
      <c r="G16" s="34">
        <v>88</v>
      </c>
      <c r="H16" s="4" t="s">
        <v>17</v>
      </c>
      <c r="I16" s="5" t="s">
        <v>35</v>
      </c>
      <c r="J16" s="25">
        <v>12</v>
      </c>
      <c r="K16" s="33">
        <v>88</v>
      </c>
      <c r="L16" s="6" t="s">
        <v>17</v>
      </c>
      <c r="M16" s="7" t="s">
        <v>47</v>
      </c>
      <c r="N16" s="8">
        <v>3</v>
      </c>
      <c r="O16" s="9">
        <v>113</v>
      </c>
      <c r="P16" s="10">
        <v>0</v>
      </c>
      <c r="Q16" s="11">
        <v>15.067</v>
      </c>
      <c r="R16" s="12">
        <v>7.5</v>
      </c>
      <c r="S16" s="30" t="s">
        <v>46</v>
      </c>
    </row>
    <row r="17" spans="2:19" x14ac:dyDescent="0.25">
      <c r="B17" s="32">
        <v>11</v>
      </c>
      <c r="C17" s="1" t="s">
        <v>48</v>
      </c>
      <c r="D17" s="2" t="s">
        <v>41</v>
      </c>
      <c r="E17" s="20" t="s">
        <v>59</v>
      </c>
      <c r="F17" s="3">
        <v>1</v>
      </c>
      <c r="G17" s="34">
        <v>89</v>
      </c>
      <c r="H17" s="4" t="s">
        <v>18</v>
      </c>
      <c r="I17" s="5" t="s">
        <v>50</v>
      </c>
      <c r="J17" s="25">
        <v>6</v>
      </c>
      <c r="K17" s="33">
        <v>89</v>
      </c>
      <c r="L17" s="6" t="s">
        <v>18</v>
      </c>
      <c r="M17" s="7" t="s">
        <v>51</v>
      </c>
      <c r="N17" s="8">
        <v>1</v>
      </c>
      <c r="O17" s="9">
        <v>263</v>
      </c>
      <c r="P17" s="10">
        <v>0</v>
      </c>
      <c r="Q17" s="11">
        <v>18.138000000000002</v>
      </c>
      <c r="R17" s="12">
        <v>14.5</v>
      </c>
      <c r="S17" s="30" t="s">
        <v>49</v>
      </c>
    </row>
    <row r="18" spans="2:19" x14ac:dyDescent="0.25">
      <c r="B18" s="32">
        <v>12</v>
      </c>
      <c r="C18" s="1" t="s">
        <v>27</v>
      </c>
      <c r="D18" s="2" t="s">
        <v>41</v>
      </c>
      <c r="E18" s="20" t="s">
        <v>59</v>
      </c>
      <c r="F18" s="3">
        <v>3</v>
      </c>
      <c r="G18" s="34">
        <v>90</v>
      </c>
      <c r="H18" s="4" t="s">
        <v>26</v>
      </c>
      <c r="I18" s="5" t="s">
        <v>35</v>
      </c>
      <c r="J18" s="25">
        <v>19</v>
      </c>
      <c r="K18" s="33">
        <v>91</v>
      </c>
      <c r="L18" s="6" t="s">
        <v>10</v>
      </c>
      <c r="M18" s="7" t="s">
        <v>43</v>
      </c>
      <c r="N18" s="8">
        <v>3</v>
      </c>
      <c r="O18" s="9">
        <v>197</v>
      </c>
      <c r="P18" s="10">
        <v>0</v>
      </c>
      <c r="Q18" s="11">
        <v>8.5649999999999995</v>
      </c>
      <c r="R18" s="12">
        <v>23</v>
      </c>
      <c r="S18" s="30" t="s">
        <v>52</v>
      </c>
    </row>
    <row r="19" spans="2:19" x14ac:dyDescent="0.25">
      <c r="B19" s="32">
        <v>13</v>
      </c>
      <c r="C19" s="1" t="s">
        <v>33</v>
      </c>
      <c r="D19" s="2" t="s">
        <v>41</v>
      </c>
      <c r="E19" s="20" t="s">
        <v>59</v>
      </c>
      <c r="F19" s="3">
        <v>3</v>
      </c>
      <c r="G19" s="34">
        <v>92</v>
      </c>
      <c r="H19" s="4" t="s">
        <v>29</v>
      </c>
      <c r="I19" s="5" t="s">
        <v>35</v>
      </c>
      <c r="J19" s="25">
        <v>29</v>
      </c>
      <c r="K19" s="33">
        <v>93</v>
      </c>
      <c r="L19" s="6" t="s">
        <v>13</v>
      </c>
      <c r="M19" s="7" t="s">
        <v>53</v>
      </c>
      <c r="N19" s="8">
        <v>3</v>
      </c>
      <c r="O19" s="9">
        <v>169</v>
      </c>
      <c r="P19" s="10">
        <v>0</v>
      </c>
      <c r="Q19" s="11">
        <v>13</v>
      </c>
      <c r="R19" s="12">
        <v>13</v>
      </c>
      <c r="S19" s="30" t="s">
        <v>34</v>
      </c>
    </row>
    <row r="20" spans="2:19" x14ac:dyDescent="0.25">
      <c r="B20" s="32">
        <v>14</v>
      </c>
      <c r="C20" s="1" t="s">
        <v>36</v>
      </c>
      <c r="D20" s="2" t="s">
        <v>41</v>
      </c>
      <c r="E20" s="20" t="s">
        <v>59</v>
      </c>
      <c r="F20" s="3">
        <v>3</v>
      </c>
      <c r="G20" s="34">
        <v>94</v>
      </c>
      <c r="H20" s="4" t="s">
        <v>31</v>
      </c>
      <c r="I20" s="5" t="s">
        <v>35</v>
      </c>
      <c r="J20" s="25">
        <v>21</v>
      </c>
      <c r="K20" s="33">
        <v>95</v>
      </c>
      <c r="L20" s="6" t="s">
        <v>17</v>
      </c>
      <c r="M20" s="7" t="s">
        <v>55</v>
      </c>
      <c r="N20" s="8">
        <v>3</v>
      </c>
      <c r="O20" s="9">
        <v>2858</v>
      </c>
      <c r="P20" s="10">
        <v>0</v>
      </c>
      <c r="Q20" s="11">
        <v>17.641999999999999</v>
      </c>
      <c r="R20" s="12">
        <v>162</v>
      </c>
      <c r="S20" s="30" t="s">
        <v>54</v>
      </c>
    </row>
    <row r="21" spans="2:19" x14ac:dyDescent="0.25">
      <c r="B21" s="32">
        <v>15</v>
      </c>
      <c r="C21" s="1" t="s">
        <v>24</v>
      </c>
      <c r="D21" s="2" t="s">
        <v>41</v>
      </c>
      <c r="E21" s="20" t="s">
        <v>59</v>
      </c>
      <c r="F21" s="3">
        <v>3</v>
      </c>
      <c r="G21" s="34">
        <v>102</v>
      </c>
      <c r="H21" s="4" t="s">
        <v>17</v>
      </c>
      <c r="I21" s="5" t="s">
        <v>56</v>
      </c>
      <c r="J21" s="25">
        <v>24</v>
      </c>
      <c r="K21" s="33">
        <v>103</v>
      </c>
      <c r="L21" s="6" t="s">
        <v>18</v>
      </c>
      <c r="M21" s="7" t="s">
        <v>56</v>
      </c>
      <c r="N21" s="8">
        <v>3</v>
      </c>
      <c r="O21" s="9">
        <v>11858</v>
      </c>
      <c r="P21" s="10">
        <v>0</v>
      </c>
      <c r="Q21" s="11">
        <v>16.199000000000002</v>
      </c>
      <c r="R21" s="12">
        <v>732</v>
      </c>
      <c r="S21" s="30" t="s">
        <v>25</v>
      </c>
    </row>
    <row r="22" spans="2:19" x14ac:dyDescent="0.25">
      <c r="B22" s="32">
        <v>16</v>
      </c>
      <c r="C22" s="1" t="s">
        <v>7</v>
      </c>
      <c r="D22" s="2" t="s">
        <v>41</v>
      </c>
      <c r="E22" s="20" t="s">
        <v>59</v>
      </c>
      <c r="F22" s="3">
        <v>0</v>
      </c>
      <c r="G22" s="34">
        <v>133</v>
      </c>
      <c r="H22" s="4" t="s">
        <v>10</v>
      </c>
      <c r="I22" s="5" t="s">
        <v>11</v>
      </c>
      <c r="J22" s="25">
        <v>0</v>
      </c>
      <c r="K22" s="33">
        <v>135</v>
      </c>
      <c r="L22" s="6" t="s">
        <v>13</v>
      </c>
      <c r="M22" s="7" t="s">
        <v>14</v>
      </c>
      <c r="N22" s="8">
        <v>0</v>
      </c>
      <c r="O22" s="9">
        <v>0</v>
      </c>
      <c r="P22" s="10">
        <v>0</v>
      </c>
      <c r="Q22" s="11">
        <v>0</v>
      </c>
      <c r="R22" s="12">
        <v>0</v>
      </c>
      <c r="S22" s="30" t="s">
        <v>8</v>
      </c>
    </row>
    <row r="23" spans="2:19" x14ac:dyDescent="0.25">
      <c r="B23" s="13" t="s">
        <v>12</v>
      </c>
      <c r="C23" s="22" t="s">
        <v>67</v>
      </c>
      <c r="D23" s="23"/>
      <c r="E23" s="23"/>
      <c r="F23" s="28">
        <f>SUM(F7:F22)</f>
        <v>46.5</v>
      </c>
      <c r="G23" s="14"/>
      <c r="H23" s="13" t="s">
        <v>12</v>
      </c>
      <c r="I23" s="13" t="s">
        <v>12</v>
      </c>
      <c r="J23" s="29">
        <f>SUM(J7:J22)</f>
        <v>491</v>
      </c>
      <c r="K23" s="14"/>
      <c r="L23" s="13" t="s">
        <v>12</v>
      </c>
      <c r="M23" s="13" t="s">
        <v>12</v>
      </c>
      <c r="N23" s="29">
        <f>SUM(N7:N22)</f>
        <v>46.5</v>
      </c>
      <c r="O23" s="29">
        <f>SUM(O7:O22)</f>
        <v>40535</v>
      </c>
      <c r="P23" s="26"/>
      <c r="Q23" s="27">
        <f>O23/R23</f>
        <v>15.542561349693251</v>
      </c>
      <c r="R23" s="29">
        <f>SUM(R7:R22)</f>
        <v>2608</v>
      </c>
      <c r="S23" s="31"/>
    </row>
    <row r="25" spans="2:19" x14ac:dyDescent="0.25">
      <c r="I25" s="24"/>
      <c r="Q25" s="21" t="s">
        <v>88</v>
      </c>
      <c r="R25" s="21" t="s">
        <v>89</v>
      </c>
      <c r="S25" s="21" t="s">
        <v>90</v>
      </c>
    </row>
  </sheetData>
  <phoneticPr fontId="2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Proforma Schedule FP1 7018.xlsx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최병주(Byung-Joo CHOI)</dc:creator>
  <cp:lastModifiedBy>최병주 (Byung-Joo CHOI)</cp:lastModifiedBy>
  <dcterms:created xsi:type="dcterms:W3CDTF">2026-02-05T00:32:00Z</dcterms:created>
  <dcterms:modified xsi:type="dcterms:W3CDTF">2026-02-05T02:36:16Z</dcterms:modified>
</cp:coreProperties>
</file>